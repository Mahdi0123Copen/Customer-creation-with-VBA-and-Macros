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mahdi\Documents\Virksomhedens Endelige Aflevering\"/>
    </mc:Choice>
  </mc:AlternateContent>
  <xr:revisionPtr revIDLastSave="0" documentId="13_ncr:1_{D8125CC5-FEDF-4787-A755-82B7C11DAD5F}" xr6:coauthVersionLast="43" xr6:coauthVersionMax="43" xr10:uidLastSave="{00000000-0000-0000-0000-000000000000}"/>
  <bookViews>
    <workbookView xWindow="-110" yWindow="-110" windowWidth="19420" windowHeight="10420" activeTab="5" xr2:uid="{00000000-000D-0000-FFFF-FFFF00000000}"/>
  </bookViews>
  <sheets>
    <sheet name="Inputark" sheetId="1" r:id="rId1"/>
    <sheet name="Stamdata" sheetId="2" r:id="rId2"/>
    <sheet name="varelager" sheetId="3" r:id="rId3"/>
    <sheet name="kundekartoket" sheetId="4" r:id="rId4"/>
    <sheet name="Resultatark" sheetId="5" r:id="rId5"/>
    <sheet name="kvittering" sheetId="6" r:id="rId6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4" l="1"/>
  <c r="I5" i="4"/>
  <c r="I4" i="4"/>
  <c r="I3" i="4"/>
  <c r="I2" i="4"/>
  <c r="C6" i="3" l="1"/>
  <c r="C2" i="1"/>
  <c r="C3" i="5"/>
  <c r="B3" i="5"/>
  <c r="D3" i="5" l="1"/>
  <c r="C2" i="3"/>
  <c r="C5" i="3"/>
  <c r="C4" i="3"/>
  <c r="C3" i="3"/>
  <c r="B4" i="5" l="1"/>
  <c r="B6" i="5"/>
  <c r="D6" i="5" s="1"/>
  <c r="G30" i="2"/>
  <c r="I30" i="2" s="1"/>
  <c r="F30" i="2"/>
  <c r="G29" i="2"/>
  <c r="F29" i="2"/>
  <c r="I29" i="2" s="1"/>
  <c r="G28" i="2"/>
  <c r="F28" i="2"/>
  <c r="I28" i="2" s="1"/>
  <c r="G27" i="2"/>
  <c r="F27" i="2"/>
  <c r="I27" i="2" s="1"/>
  <c r="G26" i="2"/>
  <c r="I26" i="2" s="1"/>
  <c r="F26" i="2"/>
  <c r="G2" i="2"/>
  <c r="G6" i="2"/>
  <c r="G5" i="2"/>
  <c r="G4" i="2"/>
  <c r="G3" i="2"/>
  <c r="G12" i="2"/>
  <c r="G11" i="2"/>
  <c r="G10" i="2"/>
  <c r="G9" i="2"/>
  <c r="I9" i="2" s="1"/>
  <c r="G8" i="2"/>
  <c r="I8" i="2" s="1"/>
  <c r="G18" i="2"/>
  <c r="G17" i="2"/>
  <c r="I17" i="2" s="1"/>
  <c r="G16" i="2"/>
  <c r="G15" i="2"/>
  <c r="G14" i="2"/>
  <c r="G20" i="2"/>
  <c r="I20" i="2" s="1"/>
  <c r="G21" i="2"/>
  <c r="G22" i="2"/>
  <c r="G23" i="2"/>
  <c r="G24" i="2"/>
  <c r="F20" i="2"/>
  <c r="F24" i="2"/>
  <c r="I23" i="2"/>
  <c r="F23" i="2"/>
  <c r="I22" i="2"/>
  <c r="F22" i="2"/>
  <c r="F21" i="2"/>
  <c r="F18" i="2"/>
  <c r="I18" i="2" s="1"/>
  <c r="F17" i="2"/>
  <c r="F16" i="2"/>
  <c r="F15" i="2"/>
  <c r="I15" i="2" s="1"/>
  <c r="F14" i="2"/>
  <c r="I10" i="2"/>
  <c r="F8" i="2"/>
  <c r="F12" i="2"/>
  <c r="F11" i="2"/>
  <c r="I11" i="2" s="1"/>
  <c r="F10" i="2"/>
  <c r="F9" i="2"/>
  <c r="F2" i="2"/>
  <c r="G2" i="1"/>
  <c r="C4" i="5"/>
  <c r="C5" i="5"/>
  <c r="C6" i="5"/>
  <c r="C7" i="5"/>
  <c r="B7" i="5" l="1"/>
  <c r="D7" i="5" s="1"/>
  <c r="B5" i="5"/>
  <c r="D5" i="5" s="1"/>
  <c r="I12" i="2"/>
  <c r="I14" i="2"/>
  <c r="I21" i="2"/>
  <c r="I24" i="2"/>
  <c r="I16" i="2"/>
  <c r="D4" i="5"/>
  <c r="E7" i="5" l="1"/>
  <c r="F7" i="5" s="1"/>
  <c r="A2" i="1"/>
  <c r="F3" i="2"/>
  <c r="F4" i="2"/>
  <c r="F5" i="2"/>
  <c r="F6" i="2"/>
  <c r="F2" i="1"/>
  <c r="E2" i="1"/>
  <c r="E3" i="1"/>
  <c r="E4" i="1"/>
  <c r="E5" i="1"/>
  <c r="E6" i="1"/>
  <c r="E1" i="1"/>
  <c r="G3" i="1" l="1"/>
  <c r="G4" i="1"/>
  <c r="G5" i="1"/>
  <c r="G6" i="1"/>
  <c r="F3" i="1"/>
  <c r="F4" i="1"/>
  <c r="F5" i="1"/>
  <c r="F6" i="1"/>
  <c r="I6" i="1" s="1"/>
  <c r="D3" i="1"/>
  <c r="D4" i="1"/>
  <c r="D5" i="1"/>
  <c r="D6" i="1"/>
  <c r="D2" i="1"/>
  <c r="C3" i="1"/>
  <c r="C4" i="1"/>
  <c r="C5" i="1"/>
  <c r="C6" i="1"/>
  <c r="B3" i="1"/>
  <c r="B4" i="1"/>
  <c r="B5" i="1"/>
  <c r="B6" i="1"/>
  <c r="B2" i="1"/>
  <c r="I5" i="2"/>
  <c r="I3" i="2"/>
  <c r="I2" i="2"/>
  <c r="M81" i="1"/>
  <c r="M82" i="1"/>
  <c r="M83" i="1"/>
  <c r="M84" i="1"/>
  <c r="M80" i="1"/>
  <c r="M68" i="1"/>
  <c r="M69" i="1"/>
  <c r="M70" i="1"/>
  <c r="M71" i="1"/>
  <c r="M67" i="1"/>
  <c r="M52" i="1"/>
  <c r="M53" i="1"/>
  <c r="M54" i="1"/>
  <c r="M55" i="1"/>
  <c r="M51" i="1"/>
  <c r="K81" i="1"/>
  <c r="N81" i="1"/>
  <c r="K82" i="1"/>
  <c r="N82" i="1" s="1"/>
  <c r="K83" i="1"/>
  <c r="N83" i="1" s="1"/>
  <c r="K84" i="1"/>
  <c r="N84" i="1" s="1"/>
  <c r="K80" i="1"/>
  <c r="N80" i="1"/>
  <c r="K70" i="1"/>
  <c r="N70" i="1" s="1"/>
  <c r="K68" i="1"/>
  <c r="N68" i="1"/>
  <c r="K69" i="1"/>
  <c r="N69" i="1" s="1"/>
  <c r="K71" i="1"/>
  <c r="N71" i="1" s="1"/>
  <c r="K67" i="1"/>
  <c r="N67" i="1" s="1"/>
  <c r="K55" i="1"/>
  <c r="N55" i="1" s="1"/>
  <c r="K52" i="1"/>
  <c r="N52" i="1" s="1"/>
  <c r="K53" i="1"/>
  <c r="N53" i="1" s="1"/>
  <c r="K54" i="1"/>
  <c r="N54" i="1"/>
  <c r="K51" i="1"/>
  <c r="N51" i="1" s="1"/>
  <c r="N38" i="1"/>
  <c r="N58" i="1" l="1"/>
  <c r="I5" i="1"/>
  <c r="I2" i="1"/>
  <c r="I3" i="1"/>
  <c r="N74" i="1"/>
  <c r="N87" i="1"/>
  <c r="I4" i="1"/>
  <c r="I4" i="2"/>
  <c r="I6" i="2"/>
  <c r="I8" i="1" l="1"/>
  <c r="Q5" i="2" l="1"/>
</calcChain>
</file>

<file path=xl/sharedStrings.xml><?xml version="1.0" encoding="utf-8"?>
<sst xmlns="http://schemas.openxmlformats.org/spreadsheetml/2006/main" count="161" uniqueCount="76">
  <si>
    <t>bestillingsdato</t>
  </si>
  <si>
    <t>total</t>
  </si>
  <si>
    <t>Sub total</t>
  </si>
  <si>
    <t>moms</t>
  </si>
  <si>
    <t>sub total</t>
  </si>
  <si>
    <t xml:space="preserve">strømper </t>
  </si>
  <si>
    <t>priser</t>
  </si>
  <si>
    <t>hugo boss</t>
  </si>
  <si>
    <t>moma</t>
  </si>
  <si>
    <t>calvin klein</t>
  </si>
  <si>
    <t>rabat 30%</t>
  </si>
  <si>
    <t>Produkt nr.</t>
  </si>
  <si>
    <t>Produkt 1</t>
  </si>
  <si>
    <t>Produkt 2</t>
  </si>
  <si>
    <t>Produkt 3</t>
  </si>
  <si>
    <t>Produkt 4</t>
  </si>
  <si>
    <t>Produkt 5</t>
  </si>
  <si>
    <t>Pris</t>
  </si>
  <si>
    <t>KundeID</t>
  </si>
  <si>
    <t>Rabat 30%</t>
  </si>
  <si>
    <t>Total</t>
  </si>
  <si>
    <t>Varenavn</t>
  </si>
  <si>
    <t>Antal</t>
  </si>
  <si>
    <t>Leverandør</t>
  </si>
  <si>
    <t>Moms</t>
  </si>
  <si>
    <t>Bestillingsdato</t>
  </si>
  <si>
    <t xml:space="preserve">Moms </t>
  </si>
  <si>
    <t>30% Rabat</t>
  </si>
  <si>
    <t>Mads Hansen</t>
  </si>
  <si>
    <t>Hansen Palle</t>
  </si>
  <si>
    <t>Kundenavn</t>
  </si>
  <si>
    <t>Løve ApS</t>
  </si>
  <si>
    <t>KundeNavn</t>
  </si>
  <si>
    <t>Adresse</t>
  </si>
  <si>
    <t>E-mail</t>
  </si>
  <si>
    <t>Vollsmose 107 2 tv</t>
  </si>
  <si>
    <t>Nørrebro gade 2 th</t>
  </si>
  <si>
    <t>Klosterparkvej 108 2 tv</t>
  </si>
  <si>
    <t xml:space="preserve">Frederksberg 90 1 th </t>
  </si>
  <si>
    <t>MadsHansen@outlook.dk</t>
  </si>
  <si>
    <t>Voldsberg107@hotmail.com</t>
  </si>
  <si>
    <t>Kunde ID</t>
  </si>
  <si>
    <t>LVB</t>
  </si>
  <si>
    <t>HVB</t>
  </si>
  <si>
    <t>KKS</t>
  </si>
  <si>
    <t>MHN</t>
  </si>
  <si>
    <t>By</t>
  </si>
  <si>
    <t>København</t>
  </si>
  <si>
    <t>Odense</t>
  </si>
  <si>
    <t>Land</t>
  </si>
  <si>
    <t>Danmark</t>
  </si>
  <si>
    <t>klaskout@live.dk</t>
  </si>
  <si>
    <t>vognberg@gmail.com</t>
  </si>
  <si>
    <t xml:space="preserve">ProduktID </t>
  </si>
  <si>
    <t>Indtast Salg Oplysninger</t>
  </si>
  <si>
    <t>Email</t>
  </si>
  <si>
    <t xml:space="preserve"> </t>
  </si>
  <si>
    <t>SLA</t>
  </si>
  <si>
    <t>Slagelse Stationvej 42</t>
  </si>
  <si>
    <t>kelly@gmail.com</t>
  </si>
  <si>
    <t>Slagelse</t>
  </si>
  <si>
    <t>Produkt</t>
  </si>
  <si>
    <t>Frederik Vognberg</t>
  </si>
  <si>
    <t>Tove Voldsberg</t>
  </si>
  <si>
    <t>Kristen Klaske</t>
  </si>
  <si>
    <t>L.I.O</t>
  </si>
  <si>
    <t>Favorite LLC</t>
  </si>
  <si>
    <t>Antal Solgt</t>
  </si>
  <si>
    <t>Nye Solgte</t>
  </si>
  <si>
    <t>Produkter</t>
  </si>
  <si>
    <t>Solgt</t>
  </si>
  <si>
    <t>Virksomhedens Omsætning(Ingen moms)</t>
  </si>
  <si>
    <t>Antal Køb</t>
  </si>
  <si>
    <t>JA</t>
  </si>
  <si>
    <t>Navn</t>
  </si>
  <si>
    <t>Accepteret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</si>
</sst>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/>
    <xf numFmtId="0" fontId="0" fillId="0" borderId="0" xfId="0" applyFill="1"/>
    <xf numFmtId="0" fontId="0" fillId="0" borderId="2" xfId="0" applyBorder="1"/>
    <xf numFmtId="0" fontId="2" fillId="4" borderId="3" xfId="0" applyFont="1" applyFill="1" applyBorder="1"/>
    <xf numFmtId="14" fontId="0" fillId="0" borderId="5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3" borderId="9" xfId="0" applyFont="1" applyFill="1" applyBorder="1"/>
    <xf numFmtId="0" fontId="0" fillId="3" borderId="5" xfId="0" applyFill="1" applyBorder="1"/>
    <xf numFmtId="0" fontId="0" fillId="0" borderId="10" xfId="0" applyBorder="1"/>
    <xf numFmtId="0" fontId="0" fillId="3" borderId="4" xfId="0" applyFill="1" applyBorder="1"/>
    <xf numFmtId="0" fontId="0" fillId="0" borderId="13" xfId="0" applyBorder="1"/>
    <xf numFmtId="0" fontId="0" fillId="0" borderId="14" xfId="0" applyBorder="1"/>
    <xf numFmtId="0" fontId="0" fillId="3" borderId="6" xfId="0" applyFill="1" applyBorder="1"/>
    <xf numFmtId="0" fontId="0" fillId="0" borderId="1" xfId="0" applyBorder="1"/>
    <xf numFmtId="0" fontId="0" fillId="0" borderId="15" xfId="0" applyBorder="1"/>
    <xf numFmtId="0" fontId="0" fillId="0" borderId="3" xfId="0" applyBorder="1"/>
    <xf numFmtId="0" fontId="0" fillId="0" borderId="19" xfId="0" applyBorder="1"/>
    <xf numFmtId="0" fontId="1" fillId="0" borderId="19" xfId="1" applyBorder="1"/>
    <xf numFmtId="0" fontId="0" fillId="0" borderId="18" xfId="0" applyBorder="1"/>
    <xf numFmtId="0" fontId="0" fillId="0" borderId="15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1" fillId="0" borderId="0" xfId="1" applyBorder="1"/>
    <xf numFmtId="0" fontId="0" fillId="0" borderId="17" xfId="0" applyFill="1" applyBorder="1"/>
    <xf numFmtId="0" fontId="0" fillId="6" borderId="15" xfId="0" applyFill="1" applyBorder="1"/>
    <xf numFmtId="0" fontId="0" fillId="6" borderId="17" xfId="0" applyFill="1" applyBorder="1"/>
    <xf numFmtId="0" fontId="0" fillId="6" borderId="18" xfId="0" applyFill="1" applyBorder="1"/>
    <xf numFmtId="0" fontId="2" fillId="3" borderId="1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3" borderId="0" xfId="0" applyFont="1" applyFill="1" applyBorder="1"/>
    <xf numFmtId="0" fontId="2" fillId="3" borderId="3" xfId="0" applyFont="1" applyFill="1" applyBorder="1"/>
    <xf numFmtId="0" fontId="2" fillId="3" borderId="19" xfId="0" applyFont="1" applyFill="1" applyBorder="1"/>
    <xf numFmtId="0" fontId="2" fillId="2" borderId="9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698500</xdr:colOff>
          <xdr:row>13</xdr:row>
          <xdr:rowOff>177800</xdr:rowOff>
        </xdr:from>
        <xdr:to>
          <xdr:col>10</xdr:col>
          <xdr:colOff>419100</xdr:colOff>
          <xdr:row>18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Flyt til kundekartoket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Voldsberg107@hotmail.com" TargetMode="External"/><Relationship Id="rId2" Type="http://schemas.openxmlformats.org/officeDocument/2006/relationships/hyperlink" Target="mailto:vognberg@gmail.com" TargetMode="External"/><Relationship Id="rId1" Type="http://schemas.openxmlformats.org/officeDocument/2006/relationships/hyperlink" Target="mailto:MadsHansen@outlook.dk" TargetMode="External"/><Relationship Id="rId5" Type="http://schemas.openxmlformats.org/officeDocument/2006/relationships/hyperlink" Target="mailto:kelly@gmail.com" TargetMode="External"/><Relationship Id="rId4" Type="http://schemas.openxmlformats.org/officeDocument/2006/relationships/hyperlink" Target="mailto:klaskout@live.d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87"/>
  <sheetViews>
    <sheetView zoomScale="90" zoomScaleNormal="90" zoomScalePageLayoutView="90" workbookViewId="0">
      <selection activeCell="E14" sqref="E14"/>
    </sheetView>
  </sheetViews>
  <sheetFormatPr defaultColWidth="8.81640625" defaultRowHeight="14.5" x14ac:dyDescent="0.35"/>
  <cols>
    <col min="1" max="1" width="15.6328125" bestFit="1" customWidth="1"/>
    <col min="2" max="2" width="13.453125" bestFit="1" customWidth="1"/>
    <col min="3" max="3" width="20.1796875" bestFit="1" customWidth="1"/>
    <col min="4" max="4" width="10.36328125" bestFit="1" customWidth="1"/>
    <col min="5" max="5" width="10.36328125" customWidth="1"/>
    <col min="7" max="7" width="9.81640625" bestFit="1" customWidth="1"/>
    <col min="8" max="8" width="10.1796875" bestFit="1" customWidth="1"/>
    <col min="13" max="13" width="15.36328125" customWidth="1"/>
  </cols>
  <sheetData>
    <row r="1" spans="1:9" ht="15" thickBot="1" x14ac:dyDescent="0.4">
      <c r="A1" s="11" t="s">
        <v>30</v>
      </c>
      <c r="B1" s="12" t="s">
        <v>0</v>
      </c>
      <c r="C1" s="12" t="s">
        <v>11</v>
      </c>
      <c r="D1" s="12" t="s">
        <v>17</v>
      </c>
      <c r="E1" s="12" t="str">
        <f>Stamdata!E1</f>
        <v>Antal</v>
      </c>
      <c r="F1" s="12" t="s">
        <v>26</v>
      </c>
      <c r="G1" s="12" t="s">
        <v>27</v>
      </c>
      <c r="H1" s="17"/>
      <c r="I1" s="14" t="s">
        <v>2</v>
      </c>
    </row>
    <row r="2" spans="1:9" ht="15" thickBot="1" x14ac:dyDescent="0.4">
      <c r="A2" s="6" t="str">
        <f>Stamdata!A2</f>
        <v>Mads Hansen</v>
      </c>
      <c r="B2" s="7">
        <f>Stamdata!B2</f>
        <v>43490</v>
      </c>
      <c r="C2" s="8" t="str">
        <f>Stamdata!C2</f>
        <v>Produkt 1</v>
      </c>
      <c r="D2" s="8">
        <f>Stamdata!D2</f>
        <v>20</v>
      </c>
      <c r="E2" s="8">
        <f>Stamdata!E2</f>
        <v>10</v>
      </c>
      <c r="F2" s="8">
        <f>Stamdata!F2</f>
        <v>250</v>
      </c>
      <c r="G2" s="8">
        <f>Stamdata!G2</f>
        <v>60</v>
      </c>
      <c r="H2" s="17"/>
      <c r="I2" s="13">
        <f>F2-G2</f>
        <v>190</v>
      </c>
    </row>
    <row r="3" spans="1:9" x14ac:dyDescent="0.35">
      <c r="B3" s="7">
        <f>Stamdata!B3</f>
        <v>43491</v>
      </c>
      <c r="C3" s="8" t="str">
        <f>Stamdata!C3</f>
        <v>Produkt 2</v>
      </c>
      <c r="D3" s="8">
        <f>Stamdata!D3</f>
        <v>40</v>
      </c>
      <c r="E3" s="8">
        <f>Stamdata!E3</f>
        <v>10</v>
      </c>
      <c r="F3" s="8">
        <f>Stamdata!F3</f>
        <v>500</v>
      </c>
      <c r="G3" s="8">
        <f>Stamdata!G3</f>
        <v>120</v>
      </c>
      <c r="H3" s="17"/>
      <c r="I3" s="9">
        <f>F3-G3</f>
        <v>380</v>
      </c>
    </row>
    <row r="4" spans="1:9" x14ac:dyDescent="0.35">
      <c r="B4" s="7">
        <f>Stamdata!B4</f>
        <v>43492</v>
      </c>
      <c r="C4" s="8" t="str">
        <f>Stamdata!C4</f>
        <v>Produkt 3</v>
      </c>
      <c r="D4" s="8">
        <f>Stamdata!D4</f>
        <v>60</v>
      </c>
      <c r="E4" s="8">
        <f>Stamdata!E4</f>
        <v>10</v>
      </c>
      <c r="F4" s="8">
        <f>Stamdata!F4</f>
        <v>750</v>
      </c>
      <c r="G4" s="8">
        <f>Stamdata!G4</f>
        <v>180</v>
      </c>
      <c r="H4" s="17"/>
      <c r="I4" s="9">
        <f>F4-G4</f>
        <v>570</v>
      </c>
    </row>
    <row r="5" spans="1:9" x14ac:dyDescent="0.35">
      <c r="B5" s="7">
        <f>Stamdata!B5</f>
        <v>43493</v>
      </c>
      <c r="C5" s="8" t="str">
        <f>Stamdata!C5</f>
        <v>Produkt 4</v>
      </c>
      <c r="D5" s="8">
        <f>Stamdata!D5</f>
        <v>80</v>
      </c>
      <c r="E5" s="8">
        <f>Stamdata!E5</f>
        <v>10</v>
      </c>
      <c r="F5" s="8">
        <f>Stamdata!F5</f>
        <v>1000</v>
      </c>
      <c r="G5" s="8">
        <f>Stamdata!G5</f>
        <v>240</v>
      </c>
      <c r="H5" s="17"/>
      <c r="I5" s="9">
        <f>F5-G5</f>
        <v>760</v>
      </c>
    </row>
    <row r="6" spans="1:9" ht="15" thickBot="1" x14ac:dyDescent="0.4">
      <c r="B6" s="7">
        <f>Stamdata!B6</f>
        <v>43494</v>
      </c>
      <c r="C6" s="8" t="str">
        <f>Stamdata!C6</f>
        <v>Produkt 5</v>
      </c>
      <c r="D6" s="8">
        <f>Stamdata!D6</f>
        <v>100</v>
      </c>
      <c r="E6" s="8">
        <f>Stamdata!E6</f>
        <v>10</v>
      </c>
      <c r="F6" s="8">
        <f>Stamdata!F6</f>
        <v>1250</v>
      </c>
      <c r="G6" s="8">
        <f>Stamdata!G6</f>
        <v>300</v>
      </c>
      <c r="H6" s="17"/>
      <c r="I6" s="15">
        <f>F6-G6</f>
        <v>950</v>
      </c>
    </row>
    <row r="7" spans="1:9" x14ac:dyDescent="0.35">
      <c r="I7" s="16" t="s">
        <v>20</v>
      </c>
    </row>
    <row r="8" spans="1:9" ht="15" thickBot="1" x14ac:dyDescent="0.4">
      <c r="I8" s="10">
        <f>I2+I3+I4+I5+I6</f>
        <v>2850</v>
      </c>
    </row>
    <row r="12" spans="1:9" ht="15" thickBot="1" x14ac:dyDescent="0.4">
      <c r="G12" s="4"/>
    </row>
    <row r="13" spans="1:9" ht="15" thickBot="1" x14ac:dyDescent="0.4">
      <c r="A13" s="39" t="s">
        <v>54</v>
      </c>
      <c r="B13" s="40"/>
      <c r="C13" s="40"/>
      <c r="D13" s="40"/>
      <c r="E13" s="40"/>
      <c r="F13" s="40"/>
      <c r="G13" s="41"/>
      <c r="H13" s="3"/>
      <c r="I13" s="3"/>
    </row>
    <row r="14" spans="1:9" x14ac:dyDescent="0.35">
      <c r="A14" s="18" t="s">
        <v>32</v>
      </c>
      <c r="B14" s="5" t="s">
        <v>33</v>
      </c>
      <c r="C14" s="5" t="s">
        <v>34</v>
      </c>
      <c r="D14" s="5" t="s">
        <v>46</v>
      </c>
      <c r="E14" s="5" t="s">
        <v>49</v>
      </c>
      <c r="F14" s="18" t="s">
        <v>61</v>
      </c>
      <c r="G14" s="24" t="s">
        <v>72</v>
      </c>
    </row>
    <row r="15" spans="1:9" ht="15" thickBot="1" x14ac:dyDescent="0.4">
      <c r="A15" s="20"/>
      <c r="B15" s="21"/>
      <c r="C15" s="22"/>
      <c r="D15" s="21"/>
      <c r="E15" s="21"/>
      <c r="F15" s="25" t="s">
        <v>12</v>
      </c>
      <c r="G15" s="26">
        <v>0</v>
      </c>
    </row>
    <row r="16" spans="1:9" x14ac:dyDescent="0.35">
      <c r="F16" s="25" t="s">
        <v>13</v>
      </c>
      <c r="G16" s="26">
        <v>0</v>
      </c>
    </row>
    <row r="17" spans="2:7" x14ac:dyDescent="0.35">
      <c r="F17" s="25" t="s">
        <v>14</v>
      </c>
      <c r="G17" s="26">
        <v>0</v>
      </c>
    </row>
    <row r="18" spans="2:7" x14ac:dyDescent="0.35">
      <c r="B18" t="s">
        <v>56</v>
      </c>
      <c r="F18" s="25" t="s">
        <v>15</v>
      </c>
      <c r="G18" s="26">
        <v>0</v>
      </c>
    </row>
    <row r="19" spans="2:7" ht="15" thickBot="1" x14ac:dyDescent="0.4">
      <c r="F19" s="20" t="s">
        <v>16</v>
      </c>
      <c r="G19" s="23">
        <v>0</v>
      </c>
    </row>
    <row r="20" spans="2:7" x14ac:dyDescent="0.35">
      <c r="G20" s="29"/>
    </row>
    <row r="37" spans="14:14" x14ac:dyDescent="0.35">
      <c r="N37" t="s">
        <v>1</v>
      </c>
    </row>
    <row r="38" spans="14:14" x14ac:dyDescent="0.35">
      <c r="N38">
        <f>N30+N31+N32+N33+N34</f>
        <v>0</v>
      </c>
    </row>
    <row r="49" spans="4:14" x14ac:dyDescent="0.35">
      <c r="D49" t="s">
        <v>5</v>
      </c>
      <c r="H49" t="s">
        <v>6</v>
      </c>
      <c r="K49" t="s">
        <v>3</v>
      </c>
      <c r="M49" t="s">
        <v>10</v>
      </c>
      <c r="N49" t="s">
        <v>4</v>
      </c>
    </row>
    <row r="51" spans="4:14" x14ac:dyDescent="0.35">
      <c r="H51">
        <v>60</v>
      </c>
      <c r="K51">
        <f>H51*1.25</f>
        <v>75</v>
      </c>
      <c r="M51">
        <f>H51*0.3</f>
        <v>18</v>
      </c>
      <c r="N51">
        <f>H51*K51</f>
        <v>4500</v>
      </c>
    </row>
    <row r="52" spans="4:14" x14ac:dyDescent="0.35">
      <c r="H52">
        <v>70</v>
      </c>
      <c r="K52">
        <f>H52*1.25</f>
        <v>87.5</v>
      </c>
      <c r="M52">
        <f>H52*0.3</f>
        <v>21</v>
      </c>
      <c r="N52">
        <f>H52*K52</f>
        <v>6125</v>
      </c>
    </row>
    <row r="53" spans="4:14" x14ac:dyDescent="0.35">
      <c r="H53">
        <v>80</v>
      </c>
      <c r="K53">
        <f>H53*1.25</f>
        <v>100</v>
      </c>
      <c r="M53">
        <f>H53*0.3</f>
        <v>24</v>
      </c>
      <c r="N53">
        <f>H53*K53</f>
        <v>8000</v>
      </c>
    </row>
    <row r="54" spans="4:14" x14ac:dyDescent="0.35">
      <c r="H54">
        <v>90</v>
      </c>
      <c r="K54">
        <f>H54*1.25</f>
        <v>112.5</v>
      </c>
      <c r="M54">
        <f>H54*0.3</f>
        <v>27</v>
      </c>
      <c r="N54">
        <f>H54*K54</f>
        <v>10125</v>
      </c>
    </row>
    <row r="55" spans="4:14" x14ac:dyDescent="0.35">
      <c r="H55">
        <v>100</v>
      </c>
      <c r="K55">
        <f>H55*1.25</f>
        <v>125</v>
      </c>
      <c r="M55">
        <f>H55*0.3</f>
        <v>30</v>
      </c>
      <c r="N55">
        <f>H55*K55</f>
        <v>12500</v>
      </c>
    </row>
    <row r="57" spans="4:14" x14ac:dyDescent="0.35">
      <c r="N57" t="s">
        <v>1</v>
      </c>
    </row>
    <row r="58" spans="4:14" x14ac:dyDescent="0.35">
      <c r="N58">
        <f>N51+N52+N53+N54+N55</f>
        <v>41250</v>
      </c>
    </row>
    <row r="65" spans="4:14" x14ac:dyDescent="0.35">
      <c r="D65" t="s">
        <v>7</v>
      </c>
      <c r="H65" t="s">
        <v>6</v>
      </c>
      <c r="K65" t="s">
        <v>8</v>
      </c>
      <c r="M65" t="s">
        <v>10</v>
      </c>
      <c r="N65" t="s">
        <v>4</v>
      </c>
    </row>
    <row r="67" spans="4:14" x14ac:dyDescent="0.35">
      <c r="H67">
        <v>20</v>
      </c>
      <c r="K67">
        <f>H67*1.25</f>
        <v>25</v>
      </c>
      <c r="M67">
        <f>H67*0.3</f>
        <v>6</v>
      </c>
      <c r="N67">
        <f>H67*K67</f>
        <v>500</v>
      </c>
    </row>
    <row r="68" spans="4:14" x14ac:dyDescent="0.35">
      <c r="H68">
        <v>22</v>
      </c>
      <c r="K68">
        <f>H68*1.25</f>
        <v>27.5</v>
      </c>
      <c r="M68">
        <f>H68*0.3</f>
        <v>6.6</v>
      </c>
      <c r="N68">
        <f>H68*K68</f>
        <v>605</v>
      </c>
    </row>
    <row r="69" spans="4:14" x14ac:dyDescent="0.35">
      <c r="H69">
        <v>24</v>
      </c>
      <c r="K69">
        <f>H69*1.25</f>
        <v>30</v>
      </c>
      <c r="M69">
        <f>H69*0.3</f>
        <v>7.1999999999999993</v>
      </c>
      <c r="N69">
        <f>H69*K69</f>
        <v>720</v>
      </c>
    </row>
    <row r="70" spans="4:14" x14ac:dyDescent="0.35">
      <c r="H70">
        <v>26</v>
      </c>
      <c r="K70">
        <f>H70*1.25</f>
        <v>32.5</v>
      </c>
      <c r="M70">
        <f>H70*0.3</f>
        <v>7.8</v>
      </c>
      <c r="N70">
        <f>H70*K70</f>
        <v>845</v>
      </c>
    </row>
    <row r="71" spans="4:14" x14ac:dyDescent="0.35">
      <c r="H71">
        <v>28</v>
      </c>
      <c r="K71">
        <f>H71*1.25</f>
        <v>35</v>
      </c>
      <c r="M71">
        <f>H71*0.3</f>
        <v>8.4</v>
      </c>
      <c r="N71">
        <f>H71*K71</f>
        <v>980</v>
      </c>
    </row>
    <row r="73" spans="4:14" x14ac:dyDescent="0.35">
      <c r="N73" t="s">
        <v>1</v>
      </c>
    </row>
    <row r="74" spans="4:14" x14ac:dyDescent="0.35">
      <c r="N74">
        <f>N67+N68+N69+N70+N71</f>
        <v>3650</v>
      </c>
    </row>
    <row r="78" spans="4:14" x14ac:dyDescent="0.35">
      <c r="D78" t="s">
        <v>9</v>
      </c>
      <c r="H78" t="s">
        <v>6</v>
      </c>
      <c r="K78" t="s">
        <v>3</v>
      </c>
      <c r="M78" t="s">
        <v>10</v>
      </c>
      <c r="N78" t="s">
        <v>4</v>
      </c>
    </row>
    <row r="80" spans="4:14" x14ac:dyDescent="0.35">
      <c r="H80">
        <v>100</v>
      </c>
      <c r="K80">
        <f>H80*1.25</f>
        <v>125</v>
      </c>
      <c r="M80">
        <f>H80*0.3</f>
        <v>30</v>
      </c>
      <c r="N80">
        <f>H80*K80</f>
        <v>12500</v>
      </c>
    </row>
    <row r="81" spans="8:14" x14ac:dyDescent="0.35">
      <c r="H81">
        <v>200</v>
      </c>
      <c r="K81">
        <f>H81*1.25</f>
        <v>250</v>
      </c>
      <c r="M81">
        <f>H81*0.3</f>
        <v>60</v>
      </c>
      <c r="N81">
        <f>H81*K81</f>
        <v>50000</v>
      </c>
    </row>
    <row r="82" spans="8:14" x14ac:dyDescent="0.35">
      <c r="H82">
        <v>300</v>
      </c>
      <c r="K82">
        <f>H82*1.25</f>
        <v>375</v>
      </c>
      <c r="M82">
        <f>H82*0.3</f>
        <v>90</v>
      </c>
      <c r="N82">
        <f>H82*K82</f>
        <v>112500</v>
      </c>
    </row>
    <row r="83" spans="8:14" x14ac:dyDescent="0.35">
      <c r="H83">
        <v>400</v>
      </c>
      <c r="K83">
        <f>H83*1.25</f>
        <v>500</v>
      </c>
      <c r="M83">
        <f>H83*0.3</f>
        <v>120</v>
      </c>
      <c r="N83">
        <f>H83*K83</f>
        <v>200000</v>
      </c>
    </row>
    <row r="84" spans="8:14" x14ac:dyDescent="0.35">
      <c r="H84">
        <v>500</v>
      </c>
      <c r="K84">
        <f>H84*1.25</f>
        <v>625</v>
      </c>
      <c r="M84">
        <f>H84*0.3</f>
        <v>150</v>
      </c>
      <c r="N84">
        <f>H84*K84</f>
        <v>312500</v>
      </c>
    </row>
    <row r="86" spans="8:14" x14ac:dyDescent="0.35">
      <c r="N86" t="s">
        <v>1</v>
      </c>
    </row>
    <row r="87" spans="8:14" x14ac:dyDescent="0.35">
      <c r="N87">
        <f>N80+N81+N83+N82+N84</f>
        <v>687500</v>
      </c>
    </row>
  </sheetData>
  <mergeCells count="1">
    <mergeCell ref="A13:G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ro7">
                <anchor moveWithCells="1" sizeWithCells="1">
                  <from>
                    <xdr:col>7</xdr:col>
                    <xdr:colOff>698500</xdr:colOff>
                    <xdr:row>13</xdr:row>
                    <xdr:rowOff>177800</xdr:rowOff>
                  </from>
                  <to>
                    <xdr:col>10</xdr:col>
                    <xdr:colOff>419100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Q30"/>
  <sheetViews>
    <sheetView workbookViewId="0">
      <selection activeCell="E6" sqref="E6"/>
    </sheetView>
  </sheetViews>
  <sheetFormatPr defaultColWidth="8.81640625" defaultRowHeight="14.5" x14ac:dyDescent="0.35"/>
  <cols>
    <col min="1" max="1" width="20.54296875" bestFit="1" customWidth="1"/>
    <col min="2" max="2" width="13.81640625" customWidth="1"/>
    <col min="3" max="3" width="12.36328125" customWidth="1"/>
  </cols>
  <sheetData>
    <row r="1" spans="1:17" x14ac:dyDescent="0.35">
      <c r="A1" t="s">
        <v>18</v>
      </c>
      <c r="B1" t="s">
        <v>25</v>
      </c>
      <c r="C1" t="s">
        <v>11</v>
      </c>
      <c r="D1" t="s">
        <v>17</v>
      </c>
      <c r="E1" t="s">
        <v>22</v>
      </c>
      <c r="F1" t="s">
        <v>24</v>
      </c>
      <c r="G1" t="s">
        <v>19</v>
      </c>
      <c r="I1" t="s">
        <v>20</v>
      </c>
    </row>
    <row r="2" spans="1:17" x14ac:dyDescent="0.35">
      <c r="A2" t="s">
        <v>28</v>
      </c>
      <c r="B2" s="1">
        <v>43490</v>
      </c>
      <c r="C2" t="s">
        <v>12</v>
      </c>
      <c r="D2">
        <v>20</v>
      </c>
      <c r="E2">
        <v>10</v>
      </c>
      <c r="F2">
        <f>($D2*E2)*1.25</f>
        <v>250</v>
      </c>
      <c r="G2">
        <f>(D2*E2)*0.3</f>
        <v>60</v>
      </c>
      <c r="I2">
        <f>F2-G2</f>
        <v>190</v>
      </c>
    </row>
    <row r="3" spans="1:17" x14ac:dyDescent="0.35">
      <c r="B3" s="1">
        <v>43491</v>
      </c>
      <c r="C3" t="s">
        <v>13</v>
      </c>
      <c r="D3">
        <v>40</v>
      </c>
      <c r="E3">
        <v>10</v>
      </c>
      <c r="F3">
        <f t="shared" ref="F3:F6" si="0">($D3*E3)*1.25</f>
        <v>500</v>
      </c>
      <c r="G3">
        <f t="shared" ref="G3:G6" si="1">(D3*E3)*0.3</f>
        <v>120</v>
      </c>
      <c r="I3">
        <f>F3-G3</f>
        <v>380</v>
      </c>
    </row>
    <row r="4" spans="1:17" x14ac:dyDescent="0.35">
      <c r="B4" s="1">
        <v>43492</v>
      </c>
      <c r="C4" t="s">
        <v>14</v>
      </c>
      <c r="D4">
        <v>60</v>
      </c>
      <c r="E4">
        <v>10</v>
      </c>
      <c r="F4">
        <f t="shared" si="0"/>
        <v>750</v>
      </c>
      <c r="G4">
        <f t="shared" si="1"/>
        <v>180</v>
      </c>
      <c r="I4">
        <f>F4-G4</f>
        <v>570</v>
      </c>
    </row>
    <row r="5" spans="1:17" x14ac:dyDescent="0.35">
      <c r="B5" s="1">
        <v>43493</v>
      </c>
      <c r="C5" t="s">
        <v>15</v>
      </c>
      <c r="D5">
        <v>80</v>
      </c>
      <c r="E5">
        <v>10</v>
      </c>
      <c r="F5">
        <f t="shared" si="0"/>
        <v>1000</v>
      </c>
      <c r="G5">
        <f t="shared" si="1"/>
        <v>240</v>
      </c>
      <c r="I5">
        <f>F5-G5</f>
        <v>760</v>
      </c>
      <c r="Q5">
        <f ca="1">Q5:X7</f>
        <v>0</v>
      </c>
    </row>
    <row r="6" spans="1:17" x14ac:dyDescent="0.35">
      <c r="B6" s="1">
        <v>43494</v>
      </c>
      <c r="C6" t="s">
        <v>16</v>
      </c>
      <c r="D6">
        <v>100</v>
      </c>
      <c r="E6">
        <v>10</v>
      </c>
      <c r="F6">
        <f t="shared" si="0"/>
        <v>1250</v>
      </c>
      <c r="G6">
        <f t="shared" si="1"/>
        <v>300</v>
      </c>
      <c r="I6">
        <f>F6-G6</f>
        <v>950</v>
      </c>
    </row>
    <row r="7" spans="1:17" x14ac:dyDescent="0.35">
      <c r="B7" s="1"/>
    </row>
    <row r="8" spans="1:17" x14ac:dyDescent="0.35">
      <c r="A8" t="s">
        <v>62</v>
      </c>
      <c r="B8" s="1">
        <v>43521</v>
      </c>
      <c r="C8" t="s">
        <v>12</v>
      </c>
      <c r="D8">
        <v>20</v>
      </c>
      <c r="E8">
        <v>3</v>
      </c>
      <c r="F8">
        <f>($D8*E8)*1.25</f>
        <v>75</v>
      </c>
      <c r="G8">
        <f>(D8*E8)*0.3</f>
        <v>18</v>
      </c>
      <c r="I8">
        <f>F8-G8</f>
        <v>57</v>
      </c>
    </row>
    <row r="9" spans="1:17" x14ac:dyDescent="0.35">
      <c r="B9" s="1">
        <v>43522</v>
      </c>
      <c r="C9" t="s">
        <v>13</v>
      </c>
      <c r="D9">
        <v>40</v>
      </c>
      <c r="E9">
        <v>3</v>
      </c>
      <c r="F9">
        <f t="shared" ref="F9:F12" si="2">($D9*E9)*1.25</f>
        <v>150</v>
      </c>
      <c r="G9">
        <f t="shared" ref="G9:G12" si="3">(D9*E9)*0.3</f>
        <v>36</v>
      </c>
      <c r="I9">
        <f>F9-G9</f>
        <v>114</v>
      </c>
    </row>
    <row r="10" spans="1:17" x14ac:dyDescent="0.35">
      <c r="B10" s="1">
        <v>43523</v>
      </c>
      <c r="C10" t="s">
        <v>14</v>
      </c>
      <c r="D10">
        <v>60</v>
      </c>
      <c r="E10">
        <v>3</v>
      </c>
      <c r="F10">
        <f t="shared" si="2"/>
        <v>225</v>
      </c>
      <c r="G10">
        <f t="shared" si="3"/>
        <v>54</v>
      </c>
      <c r="I10">
        <f>F10-G10</f>
        <v>171</v>
      </c>
    </row>
    <row r="11" spans="1:17" x14ac:dyDescent="0.35">
      <c r="B11" s="1">
        <v>43524</v>
      </c>
      <c r="C11" t="s">
        <v>15</v>
      </c>
      <c r="D11">
        <v>80</v>
      </c>
      <c r="E11">
        <v>3</v>
      </c>
      <c r="F11">
        <f t="shared" si="2"/>
        <v>300</v>
      </c>
      <c r="G11">
        <f t="shared" si="3"/>
        <v>72</v>
      </c>
      <c r="I11">
        <f>F11-G11</f>
        <v>228</v>
      </c>
    </row>
    <row r="12" spans="1:17" x14ac:dyDescent="0.35">
      <c r="B12" s="1">
        <v>43525</v>
      </c>
      <c r="C12" t="s">
        <v>16</v>
      </c>
      <c r="D12">
        <v>100</v>
      </c>
      <c r="E12">
        <v>3</v>
      </c>
      <c r="F12">
        <f t="shared" si="2"/>
        <v>375</v>
      </c>
      <c r="G12">
        <f t="shared" si="3"/>
        <v>90</v>
      </c>
      <c r="I12">
        <f>F12-G12</f>
        <v>285</v>
      </c>
    </row>
    <row r="14" spans="1:17" x14ac:dyDescent="0.35">
      <c r="A14" t="s">
        <v>63</v>
      </c>
      <c r="B14" s="1">
        <v>43549</v>
      </c>
      <c r="C14" t="s">
        <v>12</v>
      </c>
      <c r="D14">
        <v>20</v>
      </c>
      <c r="E14">
        <v>5</v>
      </c>
      <c r="F14">
        <f>($D14*E14)*1.25</f>
        <v>125</v>
      </c>
      <c r="G14">
        <f>(D14*E14)*0.3</f>
        <v>30</v>
      </c>
      <c r="I14">
        <f>F14-G14</f>
        <v>95</v>
      </c>
    </row>
    <row r="15" spans="1:17" x14ac:dyDescent="0.35">
      <c r="B15" s="1">
        <v>43550</v>
      </c>
      <c r="C15" t="s">
        <v>13</v>
      </c>
      <c r="D15">
        <v>40</v>
      </c>
      <c r="E15">
        <v>5</v>
      </c>
      <c r="F15">
        <f t="shared" ref="F15:F18" si="4">($D15*E15)*1.25</f>
        <v>250</v>
      </c>
      <c r="G15">
        <f t="shared" ref="G15:G18" si="5">(D15*E15)*0.3</f>
        <v>60</v>
      </c>
      <c r="I15">
        <f>F15-G15</f>
        <v>190</v>
      </c>
    </row>
    <row r="16" spans="1:17" x14ac:dyDescent="0.35">
      <c r="B16" s="1">
        <v>43551</v>
      </c>
      <c r="C16" t="s">
        <v>14</v>
      </c>
      <c r="D16">
        <v>60</v>
      </c>
      <c r="E16">
        <v>5</v>
      </c>
      <c r="F16">
        <f t="shared" si="4"/>
        <v>375</v>
      </c>
      <c r="G16">
        <f t="shared" si="5"/>
        <v>90</v>
      </c>
      <c r="I16">
        <f>F16-G16</f>
        <v>285</v>
      </c>
    </row>
    <row r="17" spans="1:9" x14ac:dyDescent="0.35">
      <c r="B17" s="1">
        <v>43552</v>
      </c>
      <c r="C17" t="s">
        <v>15</v>
      </c>
      <c r="D17">
        <v>80</v>
      </c>
      <c r="E17">
        <v>2</v>
      </c>
      <c r="F17">
        <f t="shared" si="4"/>
        <v>200</v>
      </c>
      <c r="G17">
        <f t="shared" si="5"/>
        <v>48</v>
      </c>
      <c r="I17">
        <f>F17-G17</f>
        <v>152</v>
      </c>
    </row>
    <row r="18" spans="1:9" x14ac:dyDescent="0.35">
      <c r="B18" s="1">
        <v>43553</v>
      </c>
      <c r="C18" t="s">
        <v>16</v>
      </c>
      <c r="D18">
        <v>100</v>
      </c>
      <c r="E18">
        <v>1</v>
      </c>
      <c r="F18">
        <f t="shared" si="4"/>
        <v>125</v>
      </c>
      <c r="G18">
        <f t="shared" si="5"/>
        <v>30</v>
      </c>
      <c r="I18">
        <f>F18-G18</f>
        <v>95</v>
      </c>
    </row>
    <row r="20" spans="1:9" x14ac:dyDescent="0.35">
      <c r="A20" t="s">
        <v>64</v>
      </c>
      <c r="B20" s="1">
        <v>43525</v>
      </c>
      <c r="C20" t="s">
        <v>12</v>
      </c>
      <c r="D20">
        <v>20</v>
      </c>
      <c r="E20">
        <v>6</v>
      </c>
      <c r="F20">
        <f>($D20*E20)*1.25</f>
        <v>150</v>
      </c>
      <c r="G20">
        <f>(D20*E20)*0.3</f>
        <v>36</v>
      </c>
      <c r="I20">
        <f>F20-G20</f>
        <v>114</v>
      </c>
    </row>
    <row r="21" spans="1:9" x14ac:dyDescent="0.35">
      <c r="B21" s="1">
        <v>43526</v>
      </c>
      <c r="C21" t="s">
        <v>13</v>
      </c>
      <c r="D21">
        <v>40</v>
      </c>
      <c r="E21">
        <v>6</v>
      </c>
      <c r="F21">
        <f t="shared" ref="F21:F24" si="6">($D21*E21)*1.25</f>
        <v>300</v>
      </c>
      <c r="G21">
        <f t="shared" ref="G21:G24" si="7">(D21*E21)*0.3</f>
        <v>72</v>
      </c>
      <c r="I21">
        <f>F21-G21</f>
        <v>228</v>
      </c>
    </row>
    <row r="22" spans="1:9" x14ac:dyDescent="0.35">
      <c r="B22" s="1">
        <v>43527</v>
      </c>
      <c r="C22" t="s">
        <v>14</v>
      </c>
      <c r="D22">
        <v>60</v>
      </c>
      <c r="E22">
        <v>0</v>
      </c>
      <c r="F22">
        <f t="shared" si="6"/>
        <v>0</v>
      </c>
      <c r="G22">
        <f t="shared" si="7"/>
        <v>0</v>
      </c>
      <c r="I22">
        <f>F22-G22</f>
        <v>0</v>
      </c>
    </row>
    <row r="23" spans="1:9" x14ac:dyDescent="0.35">
      <c r="B23" s="1">
        <v>43528</v>
      </c>
      <c r="C23" t="s">
        <v>15</v>
      </c>
      <c r="D23">
        <v>80</v>
      </c>
      <c r="E23">
        <v>2</v>
      </c>
      <c r="F23">
        <f t="shared" si="6"/>
        <v>200</v>
      </c>
      <c r="G23">
        <f t="shared" si="7"/>
        <v>48</v>
      </c>
      <c r="I23">
        <f>F23-G23</f>
        <v>152</v>
      </c>
    </row>
    <row r="24" spans="1:9" x14ac:dyDescent="0.35">
      <c r="B24" s="1">
        <v>43529</v>
      </c>
      <c r="C24" t="s">
        <v>16</v>
      </c>
      <c r="D24">
        <v>100</v>
      </c>
      <c r="E24">
        <v>1</v>
      </c>
      <c r="F24">
        <f t="shared" si="6"/>
        <v>125</v>
      </c>
      <c r="G24">
        <f t="shared" si="7"/>
        <v>30</v>
      </c>
      <c r="I24">
        <f>F24-G24</f>
        <v>95</v>
      </c>
    </row>
    <row r="26" spans="1:9" x14ac:dyDescent="0.35">
      <c r="A26" t="s">
        <v>29</v>
      </c>
      <c r="B26" s="1">
        <v>43556</v>
      </c>
      <c r="C26" t="s">
        <v>12</v>
      </c>
      <c r="D26">
        <v>20</v>
      </c>
      <c r="E26">
        <v>3</v>
      </c>
      <c r="F26">
        <f>($D26*E26)*1.25</f>
        <v>75</v>
      </c>
      <c r="G26">
        <f>(D26*E26)*0.3</f>
        <v>18</v>
      </c>
      <c r="I26">
        <f>F26-G26</f>
        <v>57</v>
      </c>
    </row>
    <row r="27" spans="1:9" x14ac:dyDescent="0.35">
      <c r="B27" s="1">
        <v>43557</v>
      </c>
      <c r="C27" t="s">
        <v>13</v>
      </c>
      <c r="D27">
        <v>40</v>
      </c>
      <c r="E27">
        <v>0</v>
      </c>
      <c r="F27">
        <f t="shared" ref="F27:F30" si="8">($D27*E27)*1.25</f>
        <v>0</v>
      </c>
      <c r="G27">
        <f t="shared" ref="G27:G30" si="9">(D27*E27)*0.3</f>
        <v>0</v>
      </c>
      <c r="I27">
        <f>F27-G27</f>
        <v>0</v>
      </c>
    </row>
    <row r="28" spans="1:9" x14ac:dyDescent="0.35">
      <c r="B28" s="1">
        <v>43558</v>
      </c>
      <c r="C28" t="s">
        <v>14</v>
      </c>
      <c r="D28">
        <v>60</v>
      </c>
      <c r="E28">
        <v>0</v>
      </c>
      <c r="F28">
        <f t="shared" si="8"/>
        <v>0</v>
      </c>
      <c r="G28">
        <f t="shared" si="9"/>
        <v>0</v>
      </c>
      <c r="I28">
        <f>F28-G28</f>
        <v>0</v>
      </c>
    </row>
    <row r="29" spans="1:9" x14ac:dyDescent="0.35">
      <c r="B29" s="1">
        <v>43559</v>
      </c>
      <c r="C29" t="s">
        <v>15</v>
      </c>
      <c r="D29">
        <v>80</v>
      </c>
      <c r="E29">
        <v>0</v>
      </c>
      <c r="F29">
        <f t="shared" si="8"/>
        <v>0</v>
      </c>
      <c r="G29">
        <f t="shared" si="9"/>
        <v>0</v>
      </c>
      <c r="I29">
        <f>F29-G29</f>
        <v>0</v>
      </c>
    </row>
    <row r="30" spans="1:9" x14ac:dyDescent="0.35">
      <c r="B30" s="1">
        <v>43560</v>
      </c>
      <c r="C30" t="s">
        <v>16</v>
      </c>
      <c r="D30">
        <v>100</v>
      </c>
      <c r="E30">
        <v>2</v>
      </c>
      <c r="F30">
        <f t="shared" si="8"/>
        <v>250</v>
      </c>
      <c r="G30">
        <f t="shared" si="9"/>
        <v>60</v>
      </c>
      <c r="I30">
        <f>F30-G30</f>
        <v>190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D6"/>
  <sheetViews>
    <sheetView workbookViewId="0">
      <selection activeCell="C7" sqref="C7"/>
    </sheetView>
  </sheetViews>
  <sheetFormatPr defaultColWidth="8.81640625" defaultRowHeight="14.5" x14ac:dyDescent="0.35"/>
  <cols>
    <col min="2" max="2" width="9.81640625" bestFit="1" customWidth="1"/>
    <col min="4" max="4" width="10.7265625" bestFit="1" customWidth="1"/>
  </cols>
  <sheetData>
    <row r="1" spans="1:4" x14ac:dyDescent="0.35">
      <c r="A1" t="s">
        <v>53</v>
      </c>
      <c r="B1" t="s">
        <v>21</v>
      </c>
      <c r="C1" t="s">
        <v>22</v>
      </c>
      <c r="D1" t="s">
        <v>23</v>
      </c>
    </row>
    <row r="2" spans="1:4" x14ac:dyDescent="0.35">
      <c r="A2">
        <v>1</v>
      </c>
      <c r="B2" t="s">
        <v>12</v>
      </c>
      <c r="C2">
        <f>1000-kundekartoket!I2</f>
        <v>973</v>
      </c>
      <c r="D2" t="s">
        <v>31</v>
      </c>
    </row>
    <row r="3" spans="1:4" x14ac:dyDescent="0.35">
      <c r="A3">
        <v>2</v>
      </c>
      <c r="B3" t="s">
        <v>13</v>
      </c>
      <c r="C3">
        <f>800-kundekartoket!I3</f>
        <v>776</v>
      </c>
      <c r="D3" t="s">
        <v>65</v>
      </c>
    </row>
    <row r="4" spans="1:4" x14ac:dyDescent="0.35">
      <c r="A4">
        <v>3</v>
      </c>
      <c r="B4" t="s">
        <v>14</v>
      </c>
      <c r="C4">
        <f>600-kundekartoket!I4</f>
        <v>582</v>
      </c>
      <c r="D4" t="s">
        <v>66</v>
      </c>
    </row>
    <row r="5" spans="1:4" x14ac:dyDescent="0.35">
      <c r="A5">
        <v>4</v>
      </c>
      <c r="B5" t="s">
        <v>15</v>
      </c>
      <c r="C5">
        <f>400-kundekartoket!I5</f>
        <v>383</v>
      </c>
      <c r="D5" t="s">
        <v>31</v>
      </c>
    </row>
    <row r="6" spans="1:4" x14ac:dyDescent="0.35">
      <c r="A6">
        <v>5</v>
      </c>
      <c r="B6" t="s">
        <v>16</v>
      </c>
      <c r="C6">
        <f>200-kundekartoket!I6</f>
        <v>183</v>
      </c>
      <c r="D6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J18"/>
  <sheetViews>
    <sheetView workbookViewId="0">
      <selection activeCell="I9" sqref="I9"/>
    </sheetView>
  </sheetViews>
  <sheetFormatPr defaultColWidth="8.81640625" defaultRowHeight="14.5" x14ac:dyDescent="0.35"/>
  <cols>
    <col min="2" max="2" width="16.6328125" customWidth="1"/>
    <col min="3" max="3" width="19.90625" bestFit="1" customWidth="1"/>
    <col min="4" max="4" width="20.08984375" bestFit="1" customWidth="1"/>
    <col min="5" max="5" width="24.6328125" bestFit="1" customWidth="1"/>
    <col min="6" max="6" width="10.36328125" bestFit="1" customWidth="1"/>
    <col min="7" max="7" width="10.36328125" customWidth="1"/>
    <col min="9" max="9" width="10.36328125" bestFit="1" customWidth="1"/>
    <col min="10" max="10" width="9.453125" bestFit="1" customWidth="1"/>
  </cols>
  <sheetData>
    <row r="1" spans="1:10" x14ac:dyDescent="0.35">
      <c r="A1" t="s">
        <v>41</v>
      </c>
      <c r="B1" t="s">
        <v>32</v>
      </c>
      <c r="C1" t="s">
        <v>33</v>
      </c>
      <c r="D1" t="s">
        <v>55</v>
      </c>
      <c r="E1" t="s">
        <v>46</v>
      </c>
      <c r="F1" t="s">
        <v>49</v>
      </c>
      <c r="H1" s="33" t="s">
        <v>61</v>
      </c>
      <c r="I1" s="34" t="s">
        <v>67</v>
      </c>
      <c r="J1" s="30" t="s">
        <v>68</v>
      </c>
    </row>
    <row r="2" spans="1:10" x14ac:dyDescent="0.35">
      <c r="A2" t="s">
        <v>45</v>
      </c>
      <c r="B2" t="s">
        <v>28</v>
      </c>
      <c r="C2" t="s">
        <v>36</v>
      </c>
      <c r="D2" s="2" t="s">
        <v>39</v>
      </c>
      <c r="E2" t="s">
        <v>47</v>
      </c>
      <c r="F2" t="s">
        <v>50</v>
      </c>
      <c r="H2" s="35" t="s">
        <v>12</v>
      </c>
      <c r="I2" s="36">
        <f>Stamdata!E2+Stamdata!E8+Stamdata!E14+Stamdata!E20+Stamdata!E26+J2</f>
        <v>27</v>
      </c>
      <c r="J2" s="31"/>
    </row>
    <row r="3" spans="1:10" x14ac:dyDescent="0.35">
      <c r="A3" t="s">
        <v>43</v>
      </c>
      <c r="B3" t="s">
        <v>62</v>
      </c>
      <c r="C3" t="s">
        <v>38</v>
      </c>
      <c r="D3" s="2" t="s">
        <v>52</v>
      </c>
      <c r="E3" t="s">
        <v>47</v>
      </c>
      <c r="F3" t="s">
        <v>50</v>
      </c>
      <c r="H3" s="35" t="s">
        <v>13</v>
      </c>
      <c r="I3" s="36">
        <f>Stamdata!E3+Stamdata!E9+Stamdata!E15+Stamdata!E21+Stamdata!E27+J3</f>
        <v>24</v>
      </c>
      <c r="J3" s="31"/>
    </row>
    <row r="4" spans="1:10" x14ac:dyDescent="0.35">
      <c r="A4" t="s">
        <v>42</v>
      </c>
      <c r="B4" t="s">
        <v>63</v>
      </c>
      <c r="C4" t="s">
        <v>35</v>
      </c>
      <c r="D4" s="2" t="s">
        <v>40</v>
      </c>
      <c r="E4" t="s">
        <v>48</v>
      </c>
      <c r="F4" t="s">
        <v>50</v>
      </c>
      <c r="H4" s="35" t="s">
        <v>14</v>
      </c>
      <c r="I4" s="36">
        <f>Stamdata!E4+Stamdata!E10+Stamdata!E16+Stamdata!E22+Stamdata!E28+J4</f>
        <v>18</v>
      </c>
      <c r="J4" s="31"/>
    </row>
    <row r="5" spans="1:10" x14ac:dyDescent="0.35">
      <c r="A5" t="s">
        <v>44</v>
      </c>
      <c r="B5" t="s">
        <v>64</v>
      </c>
      <c r="C5" t="s">
        <v>37</v>
      </c>
      <c r="D5" s="2" t="s">
        <v>51</v>
      </c>
      <c r="E5" t="s">
        <v>47</v>
      </c>
      <c r="F5" t="s">
        <v>50</v>
      </c>
      <c r="H5" s="35" t="s">
        <v>15</v>
      </c>
      <c r="I5" s="36">
        <f>Stamdata!E5+Stamdata!E11+Stamdata!E17+Stamdata!E23+Stamdata!E29+J5</f>
        <v>17</v>
      </c>
      <c r="J5" s="31"/>
    </row>
    <row r="6" spans="1:10" ht="15" thickBot="1" x14ac:dyDescent="0.4">
      <c r="A6" t="s">
        <v>57</v>
      </c>
      <c r="B6" t="s">
        <v>29</v>
      </c>
      <c r="C6" t="s">
        <v>58</v>
      </c>
      <c r="D6" s="2" t="s">
        <v>59</v>
      </c>
      <c r="E6" t="s">
        <v>60</v>
      </c>
      <c r="F6" t="s">
        <v>50</v>
      </c>
      <c r="H6" s="37" t="s">
        <v>16</v>
      </c>
      <c r="I6" s="38">
        <f>Stamdata!E6+Stamdata!E12+Stamdata!E18+Stamdata!E24+Stamdata!E30+J6</f>
        <v>17</v>
      </c>
      <c r="J6" s="32"/>
    </row>
    <row r="7" spans="1:10" x14ac:dyDescent="0.35">
      <c r="B7" s="27"/>
      <c r="C7" s="27"/>
      <c r="D7" s="28"/>
      <c r="E7" s="27"/>
      <c r="F7" s="27"/>
      <c r="J7" s="27"/>
    </row>
    <row r="11" spans="1:10" x14ac:dyDescent="0.35">
      <c r="F11" s="2"/>
      <c r="G11" s="2"/>
    </row>
    <row r="18" spans="6:7" x14ac:dyDescent="0.35">
      <c r="F18" s="2"/>
      <c r="G18" s="2"/>
    </row>
  </sheetData>
  <hyperlinks>
    <hyperlink ref="D2" r:id="rId1" xr:uid="{A891EDDF-2CD6-4E0A-AAAF-DC120F3DE0B2}"/>
    <hyperlink ref="D3" r:id="rId2" xr:uid="{9AD34A90-9952-4045-AAE0-AACF013F6B45}"/>
    <hyperlink ref="D4" r:id="rId3" xr:uid="{2E1E5704-AD1E-431B-8BD6-47C140DEAC96}"/>
    <hyperlink ref="D5" r:id="rId4" xr:uid="{CCE34FED-920A-4A1B-A709-080A2641A562}"/>
    <hyperlink ref="D6" r:id="rId5" xr:uid="{87EE33EE-CAE3-4E4B-A5E6-8D4DACD9F1D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56A30-377B-4A7E-802D-DEDD8F382191}">
  <sheetPr codeName="Ark5"/>
  <dimension ref="A1:F7"/>
  <sheetViews>
    <sheetView workbookViewId="0">
      <selection activeCell="A7" sqref="A7"/>
    </sheetView>
  </sheetViews>
  <sheetFormatPr defaultRowHeight="14.5" x14ac:dyDescent="0.35"/>
  <cols>
    <col min="1" max="1" width="12.6328125" customWidth="1"/>
    <col min="2" max="2" width="11.90625" customWidth="1"/>
    <col min="5" max="5" width="11" customWidth="1"/>
  </cols>
  <sheetData>
    <row r="1" spans="1:6" ht="15" thickBot="1" x14ac:dyDescent="0.4">
      <c r="A1" s="42" t="s">
        <v>71</v>
      </c>
      <c r="B1" s="42"/>
      <c r="C1" s="42"/>
      <c r="D1" s="42"/>
      <c r="E1" s="42"/>
      <c r="F1" s="42"/>
    </row>
    <row r="2" spans="1:6" x14ac:dyDescent="0.35">
      <c r="A2" s="18" t="s">
        <v>69</v>
      </c>
      <c r="B2" s="5" t="s">
        <v>70</v>
      </c>
      <c r="C2" s="5" t="s">
        <v>17</v>
      </c>
      <c r="D2" s="19" t="s">
        <v>20</v>
      </c>
    </row>
    <row r="3" spans="1:6" x14ac:dyDescent="0.35">
      <c r="A3" s="25" t="s">
        <v>12</v>
      </c>
      <c r="B3" s="27">
        <f>kundekartoket!I2</f>
        <v>27</v>
      </c>
      <c r="C3" s="27">
        <f>Stamdata!D2</f>
        <v>20</v>
      </c>
      <c r="D3" s="26">
        <f>B3*C3</f>
        <v>540</v>
      </c>
    </row>
    <row r="4" spans="1:6" x14ac:dyDescent="0.35">
      <c r="A4" s="25" t="s">
        <v>13</v>
      </c>
      <c r="B4" s="27">
        <f>kundekartoket!I3</f>
        <v>24</v>
      </c>
      <c r="C4" s="27">
        <f>Stamdata!D3</f>
        <v>40</v>
      </c>
      <c r="D4" s="26">
        <f t="shared" ref="D4:D7" si="0">B4*C4</f>
        <v>960</v>
      </c>
    </row>
    <row r="5" spans="1:6" ht="15" thickBot="1" x14ac:dyDescent="0.4">
      <c r="A5" s="25" t="s">
        <v>14</v>
      </c>
      <c r="B5" s="27">
        <f>kundekartoket!I4</f>
        <v>18</v>
      </c>
      <c r="C5" s="27">
        <f>Stamdata!D4</f>
        <v>60</v>
      </c>
      <c r="D5" s="26">
        <f t="shared" si="0"/>
        <v>1080</v>
      </c>
    </row>
    <row r="6" spans="1:6" x14ac:dyDescent="0.35">
      <c r="A6" s="25" t="s">
        <v>15</v>
      </c>
      <c r="B6" s="27">
        <f>kundekartoket!I5</f>
        <v>17</v>
      </c>
      <c r="C6" s="27">
        <f>Stamdata!D5</f>
        <v>80</v>
      </c>
      <c r="D6" s="26">
        <f t="shared" si="0"/>
        <v>1360</v>
      </c>
      <c r="E6" s="5" t="s">
        <v>19</v>
      </c>
      <c r="F6" s="19" t="s">
        <v>20</v>
      </c>
    </row>
    <row r="7" spans="1:6" ht="15" thickBot="1" x14ac:dyDescent="0.4">
      <c r="A7" s="20" t="s">
        <v>16</v>
      </c>
      <c r="B7" s="21">
        <f>kundekartoket!I6</f>
        <v>17</v>
      </c>
      <c r="C7" s="21">
        <f>Stamdata!D6</f>
        <v>100</v>
      </c>
      <c r="D7" s="23">
        <f t="shared" si="0"/>
        <v>1700</v>
      </c>
      <c r="E7" s="21">
        <f>SUM(D3:D7)*0.3</f>
        <v>1692</v>
      </c>
      <c r="F7" s="23">
        <f>SUM(D3:D7)-E7</f>
        <v>3948</v>
      </c>
    </row>
  </sheetData>
  <mergeCells count="1">
    <mergeCell ref="A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4DB6-8F15-44EE-B613-AFBFDE657BBE}">
  <sheetPr codeName="Ark6"/>
  <dimension ref="A1:B6"/>
  <sheetViews>
    <sheetView tabSelected="1" workbookViewId="0">
      <selection activeCell="B7" sqref="A7:B7"/>
    </sheetView>
  </sheetViews>
  <sheetFormatPr defaultRowHeight="14.5" x14ac:dyDescent="0.35"/>
  <cols>
    <col min="1" max="1" width="16.08984375" bestFit="1" customWidth="1"/>
    <col min="2" max="2" width="12.6328125" customWidth="1"/>
  </cols>
  <sheetData>
    <row r="1" spans="1:2" x14ac:dyDescent="0.35">
      <c r="A1" t="s">
        <v>74</v>
      </c>
      <c r="B1" t="s">
        <v>75</v>
      </c>
    </row>
    <row r="2" spans="1:2" x14ac:dyDescent="0.35">
      <c r="A2" t="s">
        <v>28</v>
      </c>
      <c r="B2" t="s">
        <v>73</v>
      </c>
    </row>
    <row r="3" spans="1:2" x14ac:dyDescent="0.35">
      <c r="A3" t="s">
        <v>62</v>
      </c>
      <c r="B3" t="s">
        <v>73</v>
      </c>
    </row>
    <row r="4" spans="1:2" x14ac:dyDescent="0.35">
      <c r="A4" t="s">
        <v>63</v>
      </c>
      <c r="B4" t="s">
        <v>73</v>
      </c>
    </row>
    <row r="5" spans="1:2" x14ac:dyDescent="0.35">
      <c r="A5" t="s">
        <v>64</v>
      </c>
      <c r="B5" t="s">
        <v>73</v>
      </c>
    </row>
    <row r="6" spans="1:2" x14ac:dyDescent="0.35">
      <c r="A6" t="s">
        <v>29</v>
      </c>
      <c r="B6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Inputark</vt:lpstr>
      <vt:lpstr>Stamdata</vt:lpstr>
      <vt:lpstr>varelager</vt:lpstr>
      <vt:lpstr>kundekartoket</vt:lpstr>
      <vt:lpstr>Resultatark</vt:lpstr>
      <vt:lpstr>kvittering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mahdi salhan</dc:creator>
  <cp:lastModifiedBy>mahdi salhan</cp:lastModifiedBy>
  <dcterms:created xsi:type="dcterms:W3CDTF">2019-04-26T09:23:13Z</dcterms:created>
  <dcterms:modified xsi:type="dcterms:W3CDTF">2019-05-22T18:54:47Z</dcterms:modified>
</cp:coreProperties>
</file>